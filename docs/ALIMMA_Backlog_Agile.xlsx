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prints" sheetId="2" state="visible" r:id="rId4"/>
    <sheet name="Légende" sheetId="3" state="visible" r:id="rId5"/>
  </sheets>
  <definedNames>
    <definedName function="false" hidden="true" localSheetId="0" name="_xlnm._FilterDatabase" vbProcedure="false">Backlog!$A$1:$H$66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<sst xmlns="http://schemas.openxmlformats.org/spreadsheetml/2006/main" count="513" uniqueCount="269">
  <si>
    <t xml:space="preserve">ID</t>
  </si>
  <si>
    <t xml:space="preserve">Épopée</t>
  </si>
  <si>
    <t xml:space="preserve">Acteur</t>
  </si>
  <si>
    <t xml:space="preserve">User Story</t>
  </si>
  <si>
    <t xml:space="preserve">Priorité (MoSCoW)</t>
  </si>
  <si>
    <t xml:space="preserve">Sprint</t>
  </si>
  <si>
    <t xml:space="preserve">Story Points</t>
  </si>
  <si>
    <t xml:space="preserve">Critères d'acceptation</t>
  </si>
  <si>
    <t xml:space="preserve">US-001</t>
  </si>
  <si>
    <t xml:space="preserve">Infrastructure &amp; Setup</t>
  </si>
  <si>
    <t xml:space="preserve">Équipe technique</t>
  </si>
  <si>
    <t xml:space="preserve">Mettre en place le dépôt GitHub avec structure frontend (React) / backend (Django) séparée</t>
  </si>
  <si>
    <t xml:space="preserve">Must</t>
  </si>
  <si>
    <t xml:space="preserve">Sprint 0</t>
  </si>
  <si>
    <t xml:space="preserve">Dépôt créé avec README, .gitignore, branches main/develop, conventions de commit définies.</t>
  </si>
  <si>
    <t xml:space="preserve">US-002</t>
  </si>
  <si>
    <t xml:space="preserve">Configurer les environnements dev / staging / production</t>
  </si>
  <si>
    <t xml:space="preserve">Variables d'environnement séparées ; accès restreint à la prod ; documentation de déploiement.</t>
  </si>
  <si>
    <t xml:space="preserve">US-003</t>
  </si>
  <si>
    <t xml:space="preserve">Mettre en place la CI/CD (GitHub Actions : lint, tests, build)</t>
  </si>
  <si>
    <t xml:space="preserve">Pipeline exécuté à chaque push ; échec de build bloque la fusion sur develop.</t>
  </si>
  <si>
    <t xml:space="preserve">US-004</t>
  </si>
  <si>
    <t xml:space="preserve">Configurer Docker / docker-compose (PostgreSQL, Redis)</t>
  </si>
  <si>
    <t xml:space="preserve">docker-compose up démarre l'environnement complet en local en une commande.</t>
  </si>
  <si>
    <t xml:space="preserve">US-005</t>
  </si>
  <si>
    <t xml:space="preserve">Initialiser le projet Django + Django REST Framework</t>
  </si>
  <si>
    <t xml:space="preserve">Structure en apps modulaires ; admin Django accessible ; migrations initiales appliquées.</t>
  </si>
  <si>
    <t xml:space="preserve">US-006</t>
  </si>
  <si>
    <t xml:space="preserve">Initialiser le projet React + Redux Toolkit + routing</t>
  </si>
  <si>
    <t xml:space="preserve">Arborescence de composants définie ; store Redux configuré ; build de production fonctionnel.</t>
  </si>
  <si>
    <t xml:space="preserve">US-007</t>
  </si>
  <si>
    <t xml:space="preserve">Générer automatiquement la documentation API (Swagger/OpenAPI)</t>
  </si>
  <si>
    <t xml:space="preserve">Should</t>
  </si>
  <si>
    <t xml:space="preserve">Endpoint /docs affiche la spec interactive à jour avec le code.</t>
  </si>
  <si>
    <t xml:space="preserve">US-008</t>
  </si>
  <si>
    <t xml:space="preserve">Mettre en place le monitoring des erreurs (Sentry) et les logs</t>
  </si>
  <si>
    <t xml:space="preserve">Toute exception non gérée en production remonte une alerte avec stack trace.</t>
  </si>
  <si>
    <t xml:space="preserve">US-009</t>
  </si>
  <si>
    <t xml:space="preserve">Authentification &amp; Profils</t>
  </si>
  <si>
    <t xml:space="preserve">Visiteur</t>
  </si>
  <si>
    <t xml:space="preserve">M'inscrire avec mon numéro de téléphone et un mot de passe</t>
  </si>
  <si>
    <t xml:space="preserve">Sprint 1</t>
  </si>
  <si>
    <t xml:space="preserve">Numéro unique vérifié par format E.164 ; mot de passe hashé (bcrypt) ; compte créé avec rôle 'utilisateur'.</t>
  </si>
  <si>
    <t xml:space="preserve">US-010</t>
  </si>
  <si>
    <t xml:space="preserve">Utilisateur</t>
  </si>
  <si>
    <t xml:space="preserve">Me connecter avec vérification en deux étapes (2FA par SMS)</t>
  </si>
  <si>
    <t xml:space="preserve">Code OTP à 6 chiffres envoyé par SMS, expire après 5 min, JWT émis après validation.</t>
  </si>
  <si>
    <t xml:space="preserve">US-011</t>
  </si>
  <si>
    <t xml:space="preserve">Modifier mon profil (nom, photo, email)</t>
  </si>
  <si>
    <t xml:space="preserve">Modifications persistées ; email revalidé si changé.</t>
  </si>
  <si>
    <t xml:space="preserve">US-012</t>
  </si>
  <si>
    <t xml:space="preserve">Changer mon mot de passe</t>
  </si>
  <si>
    <t xml:space="preserve">Ancien mot de passe requis ; nouveau mot de passe ≥ 8 caractères.</t>
  </si>
  <si>
    <t xml:space="preserve">US-013</t>
  </si>
  <si>
    <t xml:space="preserve">Réinitialiser mon mot de passe oublié via SMS</t>
  </si>
  <si>
    <t xml:space="preserve">Lien/OTP à usage unique, expire après 15 min.</t>
  </si>
  <si>
    <t xml:space="preserve">US-014</t>
  </si>
  <si>
    <t xml:space="preserve">Administrateur</t>
  </si>
  <si>
    <t xml:space="preserve">Activer, suspendre ou supprimer un compte utilisateur</t>
  </si>
  <si>
    <t xml:space="preserve">Un compte suspendu ne peut plus se connecter ; action tracée dans le journal admin.</t>
  </si>
  <si>
    <t xml:space="preserve">US-015</t>
  </si>
  <si>
    <t xml:space="preserve">Attribuer un rôle à un utilisateur (Premium, Modérateur, Livreur)</t>
  </si>
  <si>
    <t xml:space="preserve">Changement de rôle immédiat ; utilisateur notifié.</t>
  </si>
  <si>
    <t xml:space="preserve">US-016</t>
  </si>
  <si>
    <t xml:space="preserve">Consulter mon code de parrainage personnel</t>
  </si>
  <si>
    <t xml:space="preserve">Code unique généré à l'inscription, affiché et partageable.</t>
  </si>
  <si>
    <t xml:space="preserve">US-017</t>
  </si>
  <si>
    <t xml:space="preserve">Catalogue &amp; Annonces</t>
  </si>
  <si>
    <t xml:space="preserve">Publier une annonce avec titre, description, prix, catégorie et photos</t>
  </si>
  <si>
    <t xml:space="preserve">Sprint 2</t>
  </si>
  <si>
    <t xml:space="preserve">Annonce créée avec statut 'en attente de modération' ; jusqu'à 8 photos.</t>
  </si>
  <si>
    <t xml:space="preserve">US-018</t>
  </si>
  <si>
    <t xml:space="preserve">Choisir entre vente à prix fixe ou aux enchères</t>
  </si>
  <si>
    <t xml:space="preserve">Si enchère : prix de départ, pas d'enchère et date de fin obligatoires.</t>
  </si>
  <si>
    <t xml:space="preserve">US-019</t>
  </si>
  <si>
    <t xml:space="preserve">Modifier, mettre en pause ou supprimer mes annonces</t>
  </si>
  <si>
    <t xml:space="preserve">Actions réservées à l'auteur de l'annonce ; historique conservé.</t>
  </si>
  <si>
    <t xml:space="preserve">US-020</t>
  </si>
  <si>
    <t xml:space="preserve">Consulter la liste des annonces en grille ou en liste</t>
  </si>
  <si>
    <t xml:space="preserve">Pagination, tri par date/prix, affichage responsive mobile-first.</t>
  </si>
  <si>
    <t xml:space="preserve">US-021</t>
  </si>
  <si>
    <t xml:space="preserve">Gérer les catégories et sous-catégories de produits</t>
  </si>
  <si>
    <t xml:space="preserve">CRUD complet ; les catégories supprimées ne cassent pas les annonces existantes.</t>
  </si>
  <si>
    <t xml:space="preserve">US-022</t>
  </si>
  <si>
    <t xml:space="preserve">Modérateur</t>
  </si>
  <si>
    <t xml:space="preserve">Valider ou rejeter une annonce publiée</t>
  </si>
  <si>
    <t xml:space="preserve">Motif de rejet obligatoire ; vendeur notifié de la décision.</t>
  </si>
  <si>
    <t xml:space="preserve">US-023</t>
  </si>
  <si>
    <t xml:space="preserve">Voir le nombre de vues de mon annonce</t>
  </si>
  <si>
    <t xml:space="preserve">Compteur incrémenté à chaque consultation unique (par session).</t>
  </si>
  <si>
    <t xml:space="preserve">US-024</t>
  </si>
  <si>
    <t xml:space="preserve">Consulter le détail d'une annonce avec galerie photo</t>
  </si>
  <si>
    <t xml:space="preserve">Zoom image, navigation entre photos, infos vendeur visibles.</t>
  </si>
  <si>
    <t xml:space="preserve">US-025</t>
  </si>
  <si>
    <t xml:space="preserve">Recherche &amp; Commande</t>
  </si>
  <si>
    <t xml:space="preserve">Rechercher des annonces par mots-clés, catégorie, prix et localisation</t>
  </si>
  <si>
    <t xml:space="preserve">Sprint 3</t>
  </si>
  <si>
    <t xml:space="preserve">Résultats pertinents en &lt; 1s pour un catalogue de 10k annonces ; filtres combinables.</t>
  </si>
  <si>
    <t xml:space="preserve">US-026</t>
  </si>
  <si>
    <t xml:space="preserve">Visualiser les annonces sur une carte interactive</t>
  </si>
  <si>
    <t xml:space="preserve">Carte Mapbox/Google Maps avec clustering ; clic sur un marqueur ouvre l'annonce.</t>
  </si>
  <si>
    <t xml:space="preserve">US-027</t>
  </si>
  <si>
    <t xml:space="preserve">Ajouter des articles à mon panier</t>
  </si>
  <si>
    <t xml:space="preserve">Panier persistant par session ; quantité modifiable.</t>
  </si>
  <si>
    <t xml:space="preserve">US-028</t>
  </si>
  <si>
    <t xml:space="preserve">Valider ma commande et choisir un mode de paiement</t>
  </si>
  <si>
    <t xml:space="preserve">Récapitulatif avant validation ; adresse de livraison requise.</t>
  </si>
  <si>
    <t xml:space="preserve">US-029</t>
  </si>
  <si>
    <t xml:space="preserve">Suivre le statut de ma commande en temps réel</t>
  </si>
  <si>
    <t xml:space="preserve">Statuts visibles : confirmée, expédiée, en transit, livrée.</t>
  </si>
  <si>
    <t xml:space="preserve">US-030</t>
  </si>
  <si>
    <t xml:space="preserve">Placer une offre sur une enchère en cours</t>
  </si>
  <si>
    <t xml:space="preserve">Offre refusée si &lt; prix actuel + pas d'enchère ; compte à rebours affiché.</t>
  </si>
  <si>
    <t xml:space="preserve">US-031</t>
  </si>
  <si>
    <t xml:space="preserve">Être notifié quand mon enchère est dépassée</t>
  </si>
  <si>
    <t xml:space="preserve">Notification push/SMS envoyée dans la minute suivant la surenchère.</t>
  </si>
  <si>
    <t xml:space="preserve">US-032</t>
  </si>
  <si>
    <t xml:space="preserve">Sauvegarder des annonces dans mes favoris</t>
  </si>
  <si>
    <t xml:space="preserve">Liste de favoris consultable et modifiable à tout moment.</t>
  </si>
  <si>
    <t xml:space="preserve">US-033</t>
  </si>
  <si>
    <t xml:space="preserve">Paiement &amp; Livraison</t>
  </si>
  <si>
    <t xml:space="preserve">Payer ma commande via Mobile Money (MTN ou Orange)</t>
  </si>
  <si>
    <t xml:space="preserve">Sprint 4</t>
  </si>
  <si>
    <t xml:space="preserve">Intégration SDK MTN/Orange ; OTP opérateur ; statut commande mis à jour après confirmation.</t>
  </si>
  <si>
    <t xml:space="preserve">US-034</t>
  </si>
  <si>
    <t xml:space="preserve">Payer à la livraison (espèces)</t>
  </si>
  <si>
    <t xml:space="preserve">Commande confirmée immédiatement ; paiement validé par le livreur à la remise.</t>
  </si>
  <si>
    <t xml:space="preserve">US-035</t>
  </si>
  <si>
    <t xml:space="preserve">Livreur</t>
  </si>
  <si>
    <t xml:space="preserve">Consulter la liste des colis à livrer avec adresse et contact</t>
  </si>
  <si>
    <t xml:space="preserve">Liste triée par zone géographique ; filtrage par statut.</t>
  </si>
  <si>
    <t xml:space="preserve">US-036</t>
  </si>
  <si>
    <t xml:space="preserve">Scanner le QR code d'un colis pour valider une étape de livraison</t>
  </si>
  <si>
    <t xml:space="preserve">Scan met à jour le statut (préparé → en transit → livré) en temps réel.</t>
  </si>
  <si>
    <t xml:space="preserve">US-037</t>
  </si>
  <si>
    <t xml:space="preserve">Confirmer la réception d'un paiement en espèces</t>
  </si>
  <si>
    <t xml:space="preserve">Confirmation déclenche la mise à jour du statut de paiement de la commande.</t>
  </si>
  <si>
    <t xml:space="preserve">US-038</t>
  </si>
  <si>
    <t xml:space="preserve">Acheteur / Vendeur</t>
  </si>
  <si>
    <t xml:space="preserve">Être notifié en temps réel du statut de ma livraison</t>
  </si>
  <si>
    <t xml:space="preserve">Notification push et SMS à chaque changement de statut.</t>
  </si>
  <si>
    <t xml:space="preserve">US-039</t>
  </si>
  <si>
    <t xml:space="preserve">Définir les frais de livraison par défaut</t>
  </si>
  <si>
    <t xml:space="preserve">Paramètre modifiable depuis le back-office, appliqué aux nouvelles commandes.</t>
  </si>
  <si>
    <t xml:space="preserve">US-040</t>
  </si>
  <si>
    <t xml:space="preserve">Réputation &amp; Social</t>
  </si>
  <si>
    <t xml:space="preserve">Acheteur</t>
  </si>
  <si>
    <t xml:space="preserve">Noter et commenter un vendeur après une commande livrée</t>
  </si>
  <si>
    <t xml:space="preserve">Sprint 5</t>
  </si>
  <si>
    <t xml:space="preserve">Note 1-5 étoiles + commentaire ; un seul avis par commande.</t>
  </si>
  <si>
    <t xml:space="preserve">US-041</t>
  </si>
  <si>
    <t xml:space="preserve">Suivre un vendeur pour recevoir ses nouvelles publications</t>
  </si>
  <si>
    <t xml:space="preserve">Notification lors d'une nouvelle annonce du vendeur suivi.</t>
  </si>
  <si>
    <t xml:space="preserve">US-042</t>
  </si>
  <si>
    <t xml:space="preserve">Poser une question publique sous une annonce</t>
  </si>
  <si>
    <t xml:space="preserve">Commentaire visible publiquement, modérable.</t>
  </si>
  <si>
    <t xml:space="preserve">US-043</t>
  </si>
  <si>
    <t xml:space="preserve">Vendeur</t>
  </si>
  <si>
    <t xml:space="preserve">Répondre publiquement aux questions sur mes annonces</t>
  </si>
  <si>
    <t xml:space="preserve">Réponse affichée directement sous la question.</t>
  </si>
  <si>
    <t xml:space="preserve">US-044</t>
  </si>
  <si>
    <t xml:space="preserve">Recevoir des points de parrainage quand mon filleul achète</t>
  </si>
  <si>
    <t xml:space="preserve">Bonus crédité au parrain et au filleul après la première commande validée.</t>
  </si>
  <si>
    <t xml:space="preserve">US-045</t>
  </si>
  <si>
    <t xml:space="preserve">Obtenir des badges selon mon activité sur la plateforme</t>
  </si>
  <si>
    <t xml:space="preserve">Could</t>
  </si>
  <si>
    <t xml:space="preserve">Badges attribués automatiquement selon des règles définies (ex : 100 ventes).</t>
  </si>
  <si>
    <t xml:space="preserve">US-046</t>
  </si>
  <si>
    <t xml:space="preserve">Créer une alerte personnalisée de recherche</t>
  </si>
  <si>
    <t xml:space="preserve">Alerte déclenchée dès qu'une annonce correspondante est publiée.</t>
  </si>
  <si>
    <t xml:space="preserve">US-047</t>
  </si>
  <si>
    <t xml:space="preserve">Recevoir mes alertes par SMS ou email</t>
  </si>
  <si>
    <t xml:space="preserve">Envoi dans les 5 minutes suivant la publication de l'annonce correspondante.</t>
  </si>
  <si>
    <t xml:space="preserve">US-048</t>
  </si>
  <si>
    <t xml:space="preserve">Vendeur Pro</t>
  </si>
  <si>
    <t xml:space="preserve">Vendeur Premium</t>
  </si>
  <si>
    <t xml:space="preserve">Personnaliser ma boutique (logo, bannière, description)</t>
  </si>
  <si>
    <t xml:space="preserve">Sprint 6</t>
  </si>
  <si>
    <t xml:space="preserve">Boutique accessible via une URL dédiée ; aperçu avant publication.</t>
  </si>
  <si>
    <t xml:space="preserve">US-049</t>
  </si>
  <si>
    <t xml:space="preserve">Importer jusqu'à 500 produits via un fichier CSV/Excel</t>
  </si>
  <si>
    <t xml:space="preserve">Validation ligne par ligne ; rapport d'erreurs téléchargeable ; traitement asynchrone.</t>
  </si>
  <si>
    <t xml:space="preserve">US-050</t>
  </si>
  <si>
    <t xml:space="preserve">Exporter mes commandes pour la comptabilité</t>
  </si>
  <si>
    <t xml:space="preserve">Export CSV incluant montants, dates, statuts sur une période donnée.</t>
  </si>
  <si>
    <t xml:space="preserve">US-051</t>
  </si>
  <si>
    <t xml:space="preserve">Consulter mes statistiques avancées (CA, taux de conversion)</t>
  </si>
  <si>
    <t xml:space="preserve">Dashboard avec graphiques ventes/mois, provenance géographique, produits les plus vus.</t>
  </si>
  <si>
    <t xml:space="preserve">US-052</t>
  </si>
  <si>
    <t xml:space="preserve">Créer des codes promo pour ma boutique</t>
  </si>
  <si>
    <t xml:space="preserve">Réduction en % ou montant fixe, période de validité, plafond d'utilisation.</t>
  </si>
  <si>
    <t xml:space="preserve">US-053</t>
  </si>
  <si>
    <t xml:space="preserve">Modération</t>
  </si>
  <si>
    <t xml:space="preserve">Traiter les signalements d'annonces et d'utilisateurs</t>
  </si>
  <si>
    <t xml:space="preserve">File d'attente triée par ancienneté ; action tracée avec motif.</t>
  </si>
  <si>
    <t xml:space="preserve">US-054</t>
  </si>
  <si>
    <t xml:space="preserve">Masquer ou supprimer un commentaire inapproprié</t>
  </si>
  <si>
    <t xml:space="preserve">Commentaire masqué immédiatement, auteur notifié du motif.</t>
  </si>
  <si>
    <t xml:space="preserve">US-055</t>
  </si>
  <si>
    <t xml:space="preserve">Superviser les actions des modérateurs via un journal</t>
  </si>
  <si>
    <t xml:space="preserve">Journal filtrable par modérateur, date et type d'action.</t>
  </si>
  <si>
    <t xml:space="preserve">US-056</t>
  </si>
  <si>
    <t xml:space="preserve">Administration</t>
  </si>
  <si>
    <t xml:space="preserve">Consulter les statistiques globales de la plateforme</t>
  </si>
  <si>
    <t xml:space="preserve">Sprint 7</t>
  </si>
  <si>
    <t xml:space="preserve">KPIs : utilisateurs, annonces actives, commandes, CA total, mis à jour en temps réel.</t>
  </si>
  <si>
    <t xml:space="preserve">US-057</t>
  </si>
  <si>
    <t xml:space="preserve">Créer des promotions globales applicables sur tout le site</t>
  </si>
  <si>
    <t xml:space="preserve">Code promo utilisable par tous les utilisateurs, plafond d'usage configurable.</t>
  </si>
  <si>
    <t xml:space="preserve">US-058</t>
  </si>
  <si>
    <t xml:space="preserve">Gérer les CGU et mentions légales du site</t>
  </si>
  <si>
    <t xml:space="preserve">Contenu éditable depuis le back-office, historisé.</t>
  </si>
  <si>
    <t xml:space="preserve">US-059</t>
  </si>
  <si>
    <t xml:space="preserve">QA &amp; Déploiement</t>
  </si>
  <si>
    <t xml:space="preserve">Écrire les tests unitaires backend (couverture ≥ 70%)</t>
  </si>
  <si>
    <t xml:space="preserve">Rapport de couverture généré à chaque build CI.</t>
  </si>
  <si>
    <t xml:space="preserve">US-060</t>
  </si>
  <si>
    <t xml:space="preserve">Écrire les tests d'intégration des endpoints API critiques</t>
  </si>
  <si>
    <t xml:space="preserve">Parcours achat, paiement et livraison couverts de bout en bout.</t>
  </si>
  <si>
    <t xml:space="preserve">US-061</t>
  </si>
  <si>
    <t xml:space="preserve">Écrire les tests frontend (Jest / React Testing Library)</t>
  </si>
  <si>
    <t xml:space="preserve">Composants critiques (panier, formulaire annonce) testés.</t>
  </si>
  <si>
    <t xml:space="preserve">US-062</t>
  </si>
  <si>
    <t xml:space="preserve">Réaliser des tests de charge avant le lancement du MVP</t>
  </si>
  <si>
    <t xml:space="preserve">Plateforme stable jusqu'à 500 utilisateurs simultanés simulés.</t>
  </si>
  <si>
    <t xml:space="preserve">US-063</t>
  </si>
  <si>
    <t xml:space="preserve">Déployer le MVP en production (Vercel + Render/AWS)</t>
  </si>
  <si>
    <t xml:space="preserve">Déploiement automatisé, rollback possible en un clic.</t>
  </si>
  <si>
    <t xml:space="preserve">US-064</t>
  </si>
  <si>
    <t xml:space="preserve">Rédiger la documentation technique (Swagger, guide d'installation)</t>
  </si>
  <si>
    <t xml:space="preserve">Un développeur externe peut installer le projet en suivant le guide.</t>
  </si>
  <si>
    <t xml:space="preserve">US-065</t>
  </si>
  <si>
    <t xml:space="preserve">Rédiger le manuel utilisateur par rôle</t>
  </si>
  <si>
    <t xml:space="preserve">Guides distincts pour acheteurs, vendeurs, livreurs, modérateurs, admins.</t>
  </si>
  <si>
    <t xml:space="preserve">Durée</t>
  </si>
  <si>
    <t xml:space="preserve">Objectif</t>
  </si>
  <si>
    <t xml:space="preserve">Nb Stories</t>
  </si>
  <si>
    <t xml:space="preserve">Total Story Points</t>
  </si>
  <si>
    <t xml:space="preserve">Points "Must"</t>
  </si>
  <si>
    <t xml:space="preserve">Semaine 1</t>
  </si>
  <si>
    <t xml:space="preserve">Fondations techniques : repo, CI/CD, Docker, scaffolding back/front</t>
  </si>
  <si>
    <t xml:space="preserve">Semaines 2-3</t>
  </si>
  <si>
    <t xml:space="preserve">Authentification, 2FA, gestion de profils et rôles</t>
  </si>
  <si>
    <t xml:space="preserve">Semaines 4-6</t>
  </si>
  <si>
    <t xml:space="preserve">Catalogue : annonces, catégories, modération de publication</t>
  </si>
  <si>
    <t xml:space="preserve">Semaines 7-9</t>
  </si>
  <si>
    <t xml:space="preserve">Recherche, carte interactive, panier, commande, enchères</t>
  </si>
  <si>
    <t xml:space="preserve">Semaines 10-12</t>
  </si>
  <si>
    <t xml:space="preserve">Paiement Mobile Money / COD, interface livreur, QR code</t>
  </si>
  <si>
    <t xml:space="preserve">Semaines 13-14</t>
  </si>
  <si>
    <t xml:space="preserve">Avis, réputation, follow, parrainage, alertes, badges</t>
  </si>
  <si>
    <t xml:space="preserve">Semaines 15-16</t>
  </si>
  <si>
    <t xml:space="preserve">Vendeur Pro (boutique, import CSV, stats) et modération</t>
  </si>
  <si>
    <t xml:space="preserve">Semaines 17-18</t>
  </si>
  <si>
    <t xml:space="preserve">Administration, QA, documentation et déploiement du MVP</t>
  </si>
  <si>
    <t xml:space="preserve">TOTAL</t>
  </si>
  <si>
    <t xml:space="preserve">Méthode de priorisation MoSCoW</t>
  </si>
  <si>
    <t xml:space="preserve">Indispensable au lancement du MVP. Sans cette fonctionnalité, le produit n'a pas de valeur.</t>
  </si>
  <si>
    <t xml:space="preserve">Important mais non bloquant pour le lancement ; à livrer si le temps le permet.</t>
  </si>
  <si>
    <t xml:space="preserve">Souhaitable, améliore l'expérience mais reportable après le MVP.</t>
  </si>
  <si>
    <t xml:space="preserve">Won't</t>
  </si>
  <si>
    <t xml:space="preserve">Explicitement hors périmètre de cette version (à réévaluer plus tard).</t>
  </si>
  <si>
    <t xml:space="preserve">Échelle</t>
  </si>
  <si>
    <t xml:space="preserve">Suite de Fibonacci : 1, 2, 3, 5, 8, 13 (complexité relative, pas une durée en heures).</t>
  </si>
  <si>
    <t xml:space="preserve">Notes de planification</t>
  </si>
  <si>
    <t xml:space="preserve">•</t>
  </si>
  <si>
    <t xml:space="preserve">MVP visé en 4 mois, découpé en 8 sprints de 1 à 3 semaines (Sprint 0 = fondations techniques).</t>
  </si>
  <si>
    <t xml:space="preserve">La feuille "Sprints" calcule automatiquement le nombre de stories et les points par sprint (formules liées à la feuille Backlog).</t>
  </si>
  <si>
    <t xml:space="preserve">Cette répartition est un point de départ : à ajuster après l'estimation collective de l'équipe (planning poker).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</si>
</sst>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B5470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B54708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7F8C8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F6F8"/>
        <bgColor rgb="FFEAF1FB"/>
      </patternFill>
    </fill>
    <fill>
      <patternFill patternType="solid">
        <fgColor rgb="FFFFFFFF"/>
        <bgColor rgb="FFF4F6F8"/>
      </patternFill>
    </fill>
    <fill>
      <patternFill patternType="solid">
        <fgColor rgb="FFEAF1FB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A"/>
      <rgbColor rgb="FF7F8C8D"/>
      <rgbColor rgb="FF9999FF"/>
      <rgbColor rgb="FFC0392B"/>
      <rgbColor rgb="FFF4F6F8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B5470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2" t="n">
        <v>3</v>
      </c>
      <c r="H2" s="3" t="s">
        <v>14</v>
      </c>
    </row>
    <row r="3" customFormat="false" ht="23.85" hidden="false" customHeight="false" outlineLevel="0" collapsed="false">
      <c r="A3" s="5" t="s">
        <v>15</v>
      </c>
      <c r="B3" s="6" t="s">
        <v>9</v>
      </c>
      <c r="C3" s="6" t="s">
        <v>10</v>
      </c>
      <c r="D3" s="6" t="s">
        <v>16</v>
      </c>
      <c r="E3" s="7" t="s">
        <v>12</v>
      </c>
      <c r="F3" s="6" t="s">
        <v>13</v>
      </c>
      <c r="G3" s="5" t="n">
        <v>5</v>
      </c>
      <c r="H3" s="6" t="s">
        <v>17</v>
      </c>
    </row>
    <row r="4" customFormat="false" ht="23.85" hidden="false" customHeight="false" outlineLevel="0" collapsed="false">
      <c r="A4" s="2" t="s">
        <v>18</v>
      </c>
      <c r="B4" s="3" t="s">
        <v>9</v>
      </c>
      <c r="C4" s="3" t="s">
        <v>10</v>
      </c>
      <c r="D4" s="3" t="s">
        <v>19</v>
      </c>
      <c r="E4" s="4" t="s">
        <v>12</v>
      </c>
      <c r="F4" s="3" t="s">
        <v>13</v>
      </c>
      <c r="G4" s="2" t="n">
        <v>5</v>
      </c>
      <c r="H4" s="3" t="s">
        <v>20</v>
      </c>
    </row>
    <row r="5" customFormat="false" ht="23.85" hidden="false" customHeight="false" outlineLevel="0" collapsed="false">
      <c r="A5" s="5" t="s">
        <v>21</v>
      </c>
      <c r="B5" s="6" t="s">
        <v>9</v>
      </c>
      <c r="C5" s="6" t="s">
        <v>10</v>
      </c>
      <c r="D5" s="6" t="s">
        <v>22</v>
      </c>
      <c r="E5" s="7" t="s">
        <v>12</v>
      </c>
      <c r="F5" s="6" t="s">
        <v>13</v>
      </c>
      <c r="G5" s="5" t="n">
        <v>5</v>
      </c>
      <c r="H5" s="6" t="s">
        <v>23</v>
      </c>
    </row>
    <row r="6" customFormat="false" ht="23.85" hidden="false" customHeight="false" outlineLevel="0" collapsed="false">
      <c r="A6" s="2" t="s">
        <v>24</v>
      </c>
      <c r="B6" s="3" t="s">
        <v>9</v>
      </c>
      <c r="C6" s="3" t="s">
        <v>10</v>
      </c>
      <c r="D6" s="3" t="s">
        <v>25</v>
      </c>
      <c r="E6" s="4" t="s">
        <v>12</v>
      </c>
      <c r="F6" s="3" t="s">
        <v>13</v>
      </c>
      <c r="G6" s="2" t="n">
        <v>3</v>
      </c>
      <c r="H6" s="3" t="s">
        <v>26</v>
      </c>
    </row>
    <row r="7" customFormat="false" ht="23.85" hidden="false" customHeight="false" outlineLevel="0" collapsed="false">
      <c r="A7" s="5" t="s">
        <v>27</v>
      </c>
      <c r="B7" s="6" t="s">
        <v>9</v>
      </c>
      <c r="C7" s="6" t="s">
        <v>10</v>
      </c>
      <c r="D7" s="6" t="s">
        <v>28</v>
      </c>
      <c r="E7" s="7" t="s">
        <v>12</v>
      </c>
      <c r="F7" s="6" t="s">
        <v>13</v>
      </c>
      <c r="G7" s="5" t="n">
        <v>3</v>
      </c>
      <c r="H7" s="6" t="s">
        <v>29</v>
      </c>
    </row>
    <row r="8" customFormat="false" ht="23.85" hidden="false" customHeight="false" outlineLevel="0" collapsed="false">
      <c r="A8" s="2" t="s">
        <v>30</v>
      </c>
      <c r="B8" s="3" t="s">
        <v>9</v>
      </c>
      <c r="C8" s="3" t="s">
        <v>10</v>
      </c>
      <c r="D8" s="3" t="s">
        <v>31</v>
      </c>
      <c r="E8" s="8" t="s">
        <v>32</v>
      </c>
      <c r="F8" s="3" t="s">
        <v>13</v>
      </c>
      <c r="G8" s="2" t="n">
        <v>3</v>
      </c>
      <c r="H8" s="3" t="s">
        <v>33</v>
      </c>
    </row>
    <row r="9" customFormat="false" ht="23.85" hidden="false" customHeight="false" outlineLevel="0" collapsed="false">
      <c r="A9" s="5" t="s">
        <v>34</v>
      </c>
      <c r="B9" s="6" t="s">
        <v>9</v>
      </c>
      <c r="C9" s="6" t="s">
        <v>10</v>
      </c>
      <c r="D9" s="6" t="s">
        <v>35</v>
      </c>
      <c r="E9" s="9" t="s">
        <v>32</v>
      </c>
      <c r="F9" s="6" t="s">
        <v>13</v>
      </c>
      <c r="G9" s="5" t="n">
        <v>2</v>
      </c>
      <c r="H9" s="6" t="s">
        <v>36</v>
      </c>
    </row>
    <row r="10" customFormat="false" ht="23.85" hidden="false" customHeight="false" outlineLevel="0" collapsed="false">
      <c r="A10" s="2" t="s">
        <v>37</v>
      </c>
      <c r="B10" s="3" t="s">
        <v>38</v>
      </c>
      <c r="C10" s="3" t="s">
        <v>39</v>
      </c>
      <c r="D10" s="3" t="s">
        <v>40</v>
      </c>
      <c r="E10" s="4" t="s">
        <v>12</v>
      </c>
      <c r="F10" s="3" t="s">
        <v>41</v>
      </c>
      <c r="G10" s="2" t="n">
        <v>5</v>
      </c>
      <c r="H10" s="3" t="s">
        <v>42</v>
      </c>
    </row>
    <row r="11" customFormat="false" ht="23.85" hidden="false" customHeight="false" outlineLevel="0" collapsed="false">
      <c r="A11" s="5" t="s">
        <v>43</v>
      </c>
      <c r="B11" s="6" t="s">
        <v>38</v>
      </c>
      <c r="C11" s="6" t="s">
        <v>44</v>
      </c>
      <c r="D11" s="6" t="s">
        <v>45</v>
      </c>
      <c r="E11" s="7" t="s">
        <v>12</v>
      </c>
      <c r="F11" s="6" t="s">
        <v>41</v>
      </c>
      <c r="G11" s="5" t="n">
        <v>8</v>
      </c>
      <c r="H11" s="6" t="s">
        <v>46</v>
      </c>
    </row>
    <row r="12" customFormat="false" ht="15" hidden="false" customHeight="false" outlineLevel="0" collapsed="false">
      <c r="A12" s="2" t="s">
        <v>47</v>
      </c>
      <c r="B12" s="3" t="s">
        <v>38</v>
      </c>
      <c r="C12" s="3" t="s">
        <v>44</v>
      </c>
      <c r="D12" s="3" t="s">
        <v>48</v>
      </c>
      <c r="E12" s="4" t="s">
        <v>12</v>
      </c>
      <c r="F12" s="3" t="s">
        <v>41</v>
      </c>
      <c r="G12" s="2" t="n">
        <v>3</v>
      </c>
      <c r="H12" s="3" t="s">
        <v>49</v>
      </c>
    </row>
    <row r="13" customFormat="false" ht="23.85" hidden="false" customHeight="false" outlineLevel="0" collapsed="false">
      <c r="A13" s="5" t="s">
        <v>50</v>
      </c>
      <c r="B13" s="6" t="s">
        <v>38</v>
      </c>
      <c r="C13" s="6" t="s">
        <v>44</v>
      </c>
      <c r="D13" s="6" t="s">
        <v>51</v>
      </c>
      <c r="E13" s="7" t="s">
        <v>12</v>
      </c>
      <c r="F13" s="6" t="s">
        <v>41</v>
      </c>
      <c r="G13" s="5" t="n">
        <v>2</v>
      </c>
      <c r="H13" s="6" t="s">
        <v>52</v>
      </c>
    </row>
    <row r="14" customFormat="false" ht="15" hidden="false" customHeight="false" outlineLevel="0" collapsed="false">
      <c r="A14" s="2" t="s">
        <v>53</v>
      </c>
      <c r="B14" s="3" t="s">
        <v>38</v>
      </c>
      <c r="C14" s="3" t="s">
        <v>44</v>
      </c>
      <c r="D14" s="3" t="s">
        <v>54</v>
      </c>
      <c r="E14" s="4" t="s">
        <v>12</v>
      </c>
      <c r="F14" s="3" t="s">
        <v>41</v>
      </c>
      <c r="G14" s="2" t="n">
        <v>5</v>
      </c>
      <c r="H14" s="3" t="s">
        <v>55</v>
      </c>
    </row>
    <row r="15" customFormat="false" ht="23.85" hidden="false" customHeight="false" outlineLevel="0" collapsed="false">
      <c r="A15" s="5" t="s">
        <v>56</v>
      </c>
      <c r="B15" s="6" t="s">
        <v>38</v>
      </c>
      <c r="C15" s="6" t="s">
        <v>57</v>
      </c>
      <c r="D15" s="6" t="s">
        <v>58</v>
      </c>
      <c r="E15" s="7" t="s">
        <v>12</v>
      </c>
      <c r="F15" s="6" t="s">
        <v>41</v>
      </c>
      <c r="G15" s="5" t="n">
        <v>3</v>
      </c>
      <c r="H15" s="6" t="s">
        <v>59</v>
      </c>
    </row>
    <row r="16" customFormat="false" ht="23.85" hidden="false" customHeight="false" outlineLevel="0" collapsed="false">
      <c r="A16" s="2" t="s">
        <v>60</v>
      </c>
      <c r="B16" s="3" t="s">
        <v>38</v>
      </c>
      <c r="C16" s="3" t="s">
        <v>57</v>
      </c>
      <c r="D16" s="3" t="s">
        <v>61</v>
      </c>
      <c r="E16" s="4" t="s">
        <v>12</v>
      </c>
      <c r="F16" s="3" t="s">
        <v>41</v>
      </c>
      <c r="G16" s="2" t="n">
        <v>3</v>
      </c>
      <c r="H16" s="3" t="s">
        <v>62</v>
      </c>
    </row>
    <row r="17" customFormat="false" ht="23.85" hidden="false" customHeight="false" outlineLevel="0" collapsed="false">
      <c r="A17" s="5" t="s">
        <v>63</v>
      </c>
      <c r="B17" s="6" t="s">
        <v>38</v>
      </c>
      <c r="C17" s="6" t="s">
        <v>44</v>
      </c>
      <c r="D17" s="6" t="s">
        <v>64</v>
      </c>
      <c r="E17" s="9" t="s">
        <v>32</v>
      </c>
      <c r="F17" s="6" t="s">
        <v>41</v>
      </c>
      <c r="G17" s="5" t="n">
        <v>2</v>
      </c>
      <c r="H17" s="6" t="s">
        <v>65</v>
      </c>
    </row>
    <row r="18" customFormat="false" ht="23.85" hidden="false" customHeight="false" outlineLevel="0" collapsed="false">
      <c r="A18" s="2" t="s">
        <v>66</v>
      </c>
      <c r="B18" s="3" t="s">
        <v>67</v>
      </c>
      <c r="C18" s="3" t="s">
        <v>44</v>
      </c>
      <c r="D18" s="3" t="s">
        <v>68</v>
      </c>
      <c r="E18" s="4" t="s">
        <v>12</v>
      </c>
      <c r="F18" s="3" t="s">
        <v>69</v>
      </c>
      <c r="G18" s="2" t="n">
        <v>8</v>
      </c>
      <c r="H18" s="3" t="s">
        <v>70</v>
      </c>
    </row>
    <row r="19" customFormat="false" ht="23.85" hidden="false" customHeight="false" outlineLevel="0" collapsed="false">
      <c r="A19" s="5" t="s">
        <v>71</v>
      </c>
      <c r="B19" s="6" t="s">
        <v>67</v>
      </c>
      <c r="C19" s="6" t="s">
        <v>44</v>
      </c>
      <c r="D19" s="6" t="s">
        <v>72</v>
      </c>
      <c r="E19" s="7" t="s">
        <v>12</v>
      </c>
      <c r="F19" s="6" t="s">
        <v>69</v>
      </c>
      <c r="G19" s="5" t="n">
        <v>5</v>
      </c>
      <c r="H19" s="6" t="s">
        <v>73</v>
      </c>
    </row>
    <row r="20" customFormat="false" ht="23.85" hidden="false" customHeight="false" outlineLevel="0" collapsed="false">
      <c r="A20" s="2" t="s">
        <v>74</v>
      </c>
      <c r="B20" s="3" t="s">
        <v>67</v>
      </c>
      <c r="C20" s="3" t="s">
        <v>44</v>
      </c>
      <c r="D20" s="3" t="s">
        <v>75</v>
      </c>
      <c r="E20" s="4" t="s">
        <v>12</v>
      </c>
      <c r="F20" s="3" t="s">
        <v>69</v>
      </c>
      <c r="G20" s="2" t="n">
        <v>5</v>
      </c>
      <c r="H20" s="3" t="s">
        <v>76</v>
      </c>
    </row>
    <row r="21" customFormat="false" ht="23.85" hidden="false" customHeight="false" outlineLevel="0" collapsed="false">
      <c r="A21" s="5" t="s">
        <v>77</v>
      </c>
      <c r="B21" s="6" t="s">
        <v>67</v>
      </c>
      <c r="C21" s="6" t="s">
        <v>39</v>
      </c>
      <c r="D21" s="6" t="s">
        <v>78</v>
      </c>
      <c r="E21" s="7" t="s">
        <v>12</v>
      </c>
      <c r="F21" s="6" t="s">
        <v>69</v>
      </c>
      <c r="G21" s="5" t="n">
        <v>5</v>
      </c>
      <c r="H21" s="6" t="s">
        <v>79</v>
      </c>
    </row>
    <row r="22" customFormat="false" ht="23.85" hidden="false" customHeight="false" outlineLevel="0" collapsed="false">
      <c r="A22" s="2" t="s">
        <v>80</v>
      </c>
      <c r="B22" s="3" t="s">
        <v>67</v>
      </c>
      <c r="C22" s="3" t="s">
        <v>57</v>
      </c>
      <c r="D22" s="3" t="s">
        <v>81</v>
      </c>
      <c r="E22" s="4" t="s">
        <v>12</v>
      </c>
      <c r="F22" s="3" t="s">
        <v>69</v>
      </c>
      <c r="G22" s="2" t="n">
        <v>5</v>
      </c>
      <c r="H22" s="3" t="s">
        <v>82</v>
      </c>
    </row>
    <row r="23" customFormat="false" ht="15" hidden="false" customHeight="false" outlineLevel="0" collapsed="false">
      <c r="A23" s="5" t="s">
        <v>83</v>
      </c>
      <c r="B23" s="6" t="s">
        <v>67</v>
      </c>
      <c r="C23" s="6" t="s">
        <v>84</v>
      </c>
      <c r="D23" s="6" t="s">
        <v>85</v>
      </c>
      <c r="E23" s="7" t="s">
        <v>12</v>
      </c>
      <c r="F23" s="6" t="s">
        <v>69</v>
      </c>
      <c r="G23" s="5" t="n">
        <v>5</v>
      </c>
      <c r="H23" s="6" t="s">
        <v>86</v>
      </c>
    </row>
    <row r="24" customFormat="false" ht="23.85" hidden="false" customHeight="false" outlineLevel="0" collapsed="false">
      <c r="A24" s="2" t="s">
        <v>87</v>
      </c>
      <c r="B24" s="3" t="s">
        <v>67</v>
      </c>
      <c r="C24" s="3" t="s">
        <v>44</v>
      </c>
      <c r="D24" s="3" t="s">
        <v>88</v>
      </c>
      <c r="E24" s="8" t="s">
        <v>32</v>
      </c>
      <c r="F24" s="3" t="s">
        <v>69</v>
      </c>
      <c r="G24" s="2" t="n">
        <v>2</v>
      </c>
      <c r="H24" s="3" t="s">
        <v>89</v>
      </c>
    </row>
    <row r="25" customFormat="false" ht="23.85" hidden="false" customHeight="false" outlineLevel="0" collapsed="false">
      <c r="A25" s="5" t="s">
        <v>90</v>
      </c>
      <c r="B25" s="6" t="s">
        <v>67</v>
      </c>
      <c r="C25" s="6" t="s">
        <v>39</v>
      </c>
      <c r="D25" s="6" t="s">
        <v>91</v>
      </c>
      <c r="E25" s="7" t="s">
        <v>12</v>
      </c>
      <c r="F25" s="6" t="s">
        <v>69</v>
      </c>
      <c r="G25" s="5" t="n">
        <v>3</v>
      </c>
      <c r="H25" s="6" t="s">
        <v>92</v>
      </c>
    </row>
    <row r="26" customFormat="false" ht="23.85" hidden="false" customHeight="false" outlineLevel="0" collapsed="false">
      <c r="A26" s="2" t="s">
        <v>93</v>
      </c>
      <c r="B26" s="3" t="s">
        <v>94</v>
      </c>
      <c r="C26" s="3" t="s">
        <v>39</v>
      </c>
      <c r="D26" s="3" t="s">
        <v>95</v>
      </c>
      <c r="E26" s="4" t="s">
        <v>12</v>
      </c>
      <c r="F26" s="3" t="s">
        <v>96</v>
      </c>
      <c r="G26" s="2" t="n">
        <v>8</v>
      </c>
      <c r="H26" s="3" t="s">
        <v>97</v>
      </c>
    </row>
    <row r="27" customFormat="false" ht="23.85" hidden="false" customHeight="false" outlineLevel="0" collapsed="false">
      <c r="A27" s="5" t="s">
        <v>98</v>
      </c>
      <c r="B27" s="6" t="s">
        <v>94</v>
      </c>
      <c r="C27" s="6" t="s">
        <v>39</v>
      </c>
      <c r="D27" s="6" t="s">
        <v>99</v>
      </c>
      <c r="E27" s="9" t="s">
        <v>32</v>
      </c>
      <c r="F27" s="6" t="s">
        <v>96</v>
      </c>
      <c r="G27" s="5" t="n">
        <v>8</v>
      </c>
      <c r="H27" s="6" t="s">
        <v>100</v>
      </c>
    </row>
    <row r="28" customFormat="false" ht="15" hidden="false" customHeight="false" outlineLevel="0" collapsed="false">
      <c r="A28" s="2" t="s">
        <v>101</v>
      </c>
      <c r="B28" s="3" t="s">
        <v>94</v>
      </c>
      <c r="C28" s="3" t="s">
        <v>44</v>
      </c>
      <c r="D28" s="3" t="s">
        <v>102</v>
      </c>
      <c r="E28" s="4" t="s">
        <v>12</v>
      </c>
      <c r="F28" s="3" t="s">
        <v>96</v>
      </c>
      <c r="G28" s="2" t="n">
        <v>5</v>
      </c>
      <c r="H28" s="3" t="s">
        <v>103</v>
      </c>
    </row>
    <row r="29" customFormat="false" ht="23.85" hidden="false" customHeight="false" outlineLevel="0" collapsed="false">
      <c r="A29" s="5" t="s">
        <v>104</v>
      </c>
      <c r="B29" s="6" t="s">
        <v>94</v>
      </c>
      <c r="C29" s="6" t="s">
        <v>44</v>
      </c>
      <c r="D29" s="6" t="s">
        <v>105</v>
      </c>
      <c r="E29" s="7" t="s">
        <v>12</v>
      </c>
      <c r="F29" s="6" t="s">
        <v>96</v>
      </c>
      <c r="G29" s="5" t="n">
        <v>5</v>
      </c>
      <c r="H29" s="6" t="s">
        <v>106</v>
      </c>
    </row>
    <row r="30" customFormat="false" ht="15" hidden="false" customHeight="false" outlineLevel="0" collapsed="false">
      <c r="A30" s="2" t="s">
        <v>107</v>
      </c>
      <c r="B30" s="3" t="s">
        <v>94</v>
      </c>
      <c r="C30" s="3" t="s">
        <v>44</v>
      </c>
      <c r="D30" s="3" t="s">
        <v>108</v>
      </c>
      <c r="E30" s="4" t="s">
        <v>12</v>
      </c>
      <c r="F30" s="3" t="s">
        <v>96</v>
      </c>
      <c r="G30" s="2" t="n">
        <v>3</v>
      </c>
      <c r="H30" s="3" t="s">
        <v>109</v>
      </c>
    </row>
    <row r="31" customFormat="false" ht="23.85" hidden="false" customHeight="false" outlineLevel="0" collapsed="false">
      <c r="A31" s="5" t="s">
        <v>110</v>
      </c>
      <c r="B31" s="6" t="s">
        <v>94</v>
      </c>
      <c r="C31" s="6" t="s">
        <v>44</v>
      </c>
      <c r="D31" s="6" t="s">
        <v>111</v>
      </c>
      <c r="E31" s="7" t="s">
        <v>12</v>
      </c>
      <c r="F31" s="6" t="s">
        <v>96</v>
      </c>
      <c r="G31" s="5" t="n">
        <v>8</v>
      </c>
      <c r="H31" s="6" t="s">
        <v>112</v>
      </c>
    </row>
    <row r="32" customFormat="false" ht="23.85" hidden="false" customHeight="false" outlineLevel="0" collapsed="false">
      <c r="A32" s="2" t="s">
        <v>113</v>
      </c>
      <c r="B32" s="3" t="s">
        <v>94</v>
      </c>
      <c r="C32" s="3" t="s">
        <v>44</v>
      </c>
      <c r="D32" s="3" t="s">
        <v>114</v>
      </c>
      <c r="E32" s="8" t="s">
        <v>32</v>
      </c>
      <c r="F32" s="3" t="s">
        <v>96</v>
      </c>
      <c r="G32" s="2" t="n">
        <v>5</v>
      </c>
      <c r="H32" s="3" t="s">
        <v>115</v>
      </c>
    </row>
    <row r="33" customFormat="false" ht="15" hidden="false" customHeight="false" outlineLevel="0" collapsed="false">
      <c r="A33" s="5" t="s">
        <v>116</v>
      </c>
      <c r="B33" s="6" t="s">
        <v>94</v>
      </c>
      <c r="C33" s="6" t="s">
        <v>44</v>
      </c>
      <c r="D33" s="6" t="s">
        <v>117</v>
      </c>
      <c r="E33" s="9" t="s">
        <v>32</v>
      </c>
      <c r="F33" s="6" t="s">
        <v>96</v>
      </c>
      <c r="G33" s="5" t="n">
        <v>3</v>
      </c>
      <c r="H33" s="6" t="s">
        <v>118</v>
      </c>
    </row>
    <row r="34" customFormat="false" ht="23.85" hidden="false" customHeight="false" outlineLevel="0" collapsed="false">
      <c r="A34" s="2" t="s">
        <v>119</v>
      </c>
      <c r="B34" s="3" t="s">
        <v>120</v>
      </c>
      <c r="C34" s="3" t="s">
        <v>44</v>
      </c>
      <c r="D34" s="3" t="s">
        <v>121</v>
      </c>
      <c r="E34" s="4" t="s">
        <v>12</v>
      </c>
      <c r="F34" s="3" t="s">
        <v>122</v>
      </c>
      <c r="G34" s="2" t="n">
        <v>13</v>
      </c>
      <c r="H34" s="3" t="s">
        <v>123</v>
      </c>
    </row>
    <row r="35" customFormat="false" ht="23.85" hidden="false" customHeight="false" outlineLevel="0" collapsed="false">
      <c r="A35" s="5" t="s">
        <v>124</v>
      </c>
      <c r="B35" s="6" t="s">
        <v>120</v>
      </c>
      <c r="C35" s="6" t="s">
        <v>44</v>
      </c>
      <c r="D35" s="6" t="s">
        <v>125</v>
      </c>
      <c r="E35" s="7" t="s">
        <v>12</v>
      </c>
      <c r="F35" s="6" t="s">
        <v>122</v>
      </c>
      <c r="G35" s="5" t="n">
        <v>5</v>
      </c>
      <c r="H35" s="6" t="s">
        <v>126</v>
      </c>
    </row>
    <row r="36" customFormat="false" ht="23.85" hidden="false" customHeight="false" outlineLevel="0" collapsed="false">
      <c r="A36" s="2" t="s">
        <v>127</v>
      </c>
      <c r="B36" s="3" t="s">
        <v>120</v>
      </c>
      <c r="C36" s="3" t="s">
        <v>128</v>
      </c>
      <c r="D36" s="3" t="s">
        <v>129</v>
      </c>
      <c r="E36" s="4" t="s">
        <v>12</v>
      </c>
      <c r="F36" s="3" t="s">
        <v>122</v>
      </c>
      <c r="G36" s="2" t="n">
        <v>5</v>
      </c>
      <c r="H36" s="3" t="s">
        <v>130</v>
      </c>
    </row>
    <row r="37" customFormat="false" ht="23.85" hidden="false" customHeight="false" outlineLevel="0" collapsed="false">
      <c r="A37" s="5" t="s">
        <v>131</v>
      </c>
      <c r="B37" s="6" t="s">
        <v>120</v>
      </c>
      <c r="C37" s="6" t="s">
        <v>128</v>
      </c>
      <c r="D37" s="6" t="s">
        <v>132</v>
      </c>
      <c r="E37" s="7" t="s">
        <v>12</v>
      </c>
      <c r="F37" s="6" t="s">
        <v>122</v>
      </c>
      <c r="G37" s="5" t="n">
        <v>8</v>
      </c>
      <c r="H37" s="6" t="s">
        <v>133</v>
      </c>
    </row>
    <row r="38" customFormat="false" ht="23.85" hidden="false" customHeight="false" outlineLevel="0" collapsed="false">
      <c r="A38" s="2" t="s">
        <v>134</v>
      </c>
      <c r="B38" s="3" t="s">
        <v>120</v>
      </c>
      <c r="C38" s="3" t="s">
        <v>128</v>
      </c>
      <c r="D38" s="3" t="s">
        <v>135</v>
      </c>
      <c r="E38" s="4" t="s">
        <v>12</v>
      </c>
      <c r="F38" s="3" t="s">
        <v>122</v>
      </c>
      <c r="G38" s="2" t="n">
        <v>3</v>
      </c>
      <c r="H38" s="3" t="s">
        <v>136</v>
      </c>
    </row>
    <row r="39" customFormat="false" ht="23.85" hidden="false" customHeight="false" outlineLevel="0" collapsed="false">
      <c r="A39" s="5" t="s">
        <v>137</v>
      </c>
      <c r="B39" s="6" t="s">
        <v>120</v>
      </c>
      <c r="C39" s="6" t="s">
        <v>138</v>
      </c>
      <c r="D39" s="6" t="s">
        <v>139</v>
      </c>
      <c r="E39" s="9" t="s">
        <v>32</v>
      </c>
      <c r="F39" s="6" t="s">
        <v>122</v>
      </c>
      <c r="G39" s="5" t="n">
        <v>5</v>
      </c>
      <c r="H39" s="6" t="s">
        <v>140</v>
      </c>
    </row>
    <row r="40" customFormat="false" ht="23.85" hidden="false" customHeight="false" outlineLevel="0" collapsed="false">
      <c r="A40" s="2" t="s">
        <v>141</v>
      </c>
      <c r="B40" s="3" t="s">
        <v>120</v>
      </c>
      <c r="C40" s="3" t="s">
        <v>57</v>
      </c>
      <c r="D40" s="3" t="s">
        <v>142</v>
      </c>
      <c r="E40" s="8" t="s">
        <v>32</v>
      </c>
      <c r="F40" s="3" t="s">
        <v>122</v>
      </c>
      <c r="G40" s="2" t="n">
        <v>2</v>
      </c>
      <c r="H40" s="3" t="s">
        <v>143</v>
      </c>
    </row>
    <row r="41" customFormat="false" ht="23.85" hidden="false" customHeight="false" outlineLevel="0" collapsed="false">
      <c r="A41" s="5" t="s">
        <v>144</v>
      </c>
      <c r="B41" s="6" t="s">
        <v>145</v>
      </c>
      <c r="C41" s="6" t="s">
        <v>146</v>
      </c>
      <c r="D41" s="6" t="s">
        <v>147</v>
      </c>
      <c r="E41" s="7" t="s">
        <v>12</v>
      </c>
      <c r="F41" s="6" t="s">
        <v>148</v>
      </c>
      <c r="G41" s="5" t="n">
        <v>5</v>
      </c>
      <c r="H41" s="6" t="s">
        <v>149</v>
      </c>
    </row>
    <row r="42" customFormat="false" ht="23.85" hidden="false" customHeight="false" outlineLevel="0" collapsed="false">
      <c r="A42" s="2" t="s">
        <v>150</v>
      </c>
      <c r="B42" s="3" t="s">
        <v>145</v>
      </c>
      <c r="C42" s="3" t="s">
        <v>44</v>
      </c>
      <c r="D42" s="3" t="s">
        <v>151</v>
      </c>
      <c r="E42" s="8" t="s">
        <v>32</v>
      </c>
      <c r="F42" s="3" t="s">
        <v>148</v>
      </c>
      <c r="G42" s="2" t="n">
        <v>3</v>
      </c>
      <c r="H42" s="3" t="s">
        <v>152</v>
      </c>
    </row>
    <row r="43" customFormat="false" ht="15" hidden="false" customHeight="false" outlineLevel="0" collapsed="false">
      <c r="A43" s="5" t="s">
        <v>153</v>
      </c>
      <c r="B43" s="6" t="s">
        <v>145</v>
      </c>
      <c r="C43" s="6" t="s">
        <v>44</v>
      </c>
      <c r="D43" s="6" t="s">
        <v>154</v>
      </c>
      <c r="E43" s="9" t="s">
        <v>32</v>
      </c>
      <c r="F43" s="6" t="s">
        <v>148</v>
      </c>
      <c r="G43" s="5" t="n">
        <v>3</v>
      </c>
      <c r="H43" s="6" t="s">
        <v>155</v>
      </c>
    </row>
    <row r="44" customFormat="false" ht="23.85" hidden="false" customHeight="false" outlineLevel="0" collapsed="false">
      <c r="A44" s="2" t="s">
        <v>156</v>
      </c>
      <c r="B44" s="3" t="s">
        <v>145</v>
      </c>
      <c r="C44" s="3" t="s">
        <v>157</v>
      </c>
      <c r="D44" s="3" t="s">
        <v>158</v>
      </c>
      <c r="E44" s="8" t="s">
        <v>32</v>
      </c>
      <c r="F44" s="3" t="s">
        <v>148</v>
      </c>
      <c r="G44" s="2" t="n">
        <v>2</v>
      </c>
      <c r="H44" s="3" t="s">
        <v>159</v>
      </c>
    </row>
    <row r="45" customFormat="false" ht="23.85" hidden="false" customHeight="false" outlineLevel="0" collapsed="false">
      <c r="A45" s="5" t="s">
        <v>160</v>
      </c>
      <c r="B45" s="6" t="s">
        <v>145</v>
      </c>
      <c r="C45" s="6" t="s">
        <v>44</v>
      </c>
      <c r="D45" s="6" t="s">
        <v>161</v>
      </c>
      <c r="E45" s="9" t="s">
        <v>32</v>
      </c>
      <c r="F45" s="6" t="s">
        <v>148</v>
      </c>
      <c r="G45" s="5" t="n">
        <v>5</v>
      </c>
      <c r="H45" s="6" t="s">
        <v>162</v>
      </c>
    </row>
    <row r="46" customFormat="false" ht="23.85" hidden="false" customHeight="false" outlineLevel="0" collapsed="false">
      <c r="A46" s="2" t="s">
        <v>163</v>
      </c>
      <c r="B46" s="3" t="s">
        <v>145</v>
      </c>
      <c r="C46" s="3" t="s">
        <v>44</v>
      </c>
      <c r="D46" s="3" t="s">
        <v>164</v>
      </c>
      <c r="E46" s="10" t="s">
        <v>165</v>
      </c>
      <c r="F46" s="3" t="s">
        <v>148</v>
      </c>
      <c r="G46" s="2" t="n">
        <v>5</v>
      </c>
      <c r="H46" s="3" t="s">
        <v>166</v>
      </c>
    </row>
    <row r="47" customFormat="false" ht="23.85" hidden="false" customHeight="false" outlineLevel="0" collapsed="false">
      <c r="A47" s="5" t="s">
        <v>167</v>
      </c>
      <c r="B47" s="6" t="s">
        <v>145</v>
      </c>
      <c r="C47" s="6" t="s">
        <v>44</v>
      </c>
      <c r="D47" s="6" t="s">
        <v>168</v>
      </c>
      <c r="E47" s="9" t="s">
        <v>32</v>
      </c>
      <c r="F47" s="6" t="s">
        <v>148</v>
      </c>
      <c r="G47" s="5" t="n">
        <v>5</v>
      </c>
      <c r="H47" s="6" t="s">
        <v>169</v>
      </c>
    </row>
    <row r="48" customFormat="false" ht="23.85" hidden="false" customHeight="false" outlineLevel="0" collapsed="false">
      <c r="A48" s="2" t="s">
        <v>170</v>
      </c>
      <c r="B48" s="3" t="s">
        <v>145</v>
      </c>
      <c r="C48" s="3" t="s">
        <v>44</v>
      </c>
      <c r="D48" s="3" t="s">
        <v>171</v>
      </c>
      <c r="E48" s="8" t="s">
        <v>32</v>
      </c>
      <c r="F48" s="3" t="s">
        <v>148</v>
      </c>
      <c r="G48" s="2" t="n">
        <v>5</v>
      </c>
      <c r="H48" s="3" t="s">
        <v>172</v>
      </c>
    </row>
    <row r="49" customFormat="false" ht="23.85" hidden="false" customHeight="false" outlineLevel="0" collapsed="false">
      <c r="A49" s="5" t="s">
        <v>173</v>
      </c>
      <c r="B49" s="6" t="s">
        <v>174</v>
      </c>
      <c r="C49" s="6" t="s">
        <v>175</v>
      </c>
      <c r="D49" s="6" t="s">
        <v>176</v>
      </c>
      <c r="E49" s="7" t="s">
        <v>12</v>
      </c>
      <c r="F49" s="6" t="s">
        <v>177</v>
      </c>
      <c r="G49" s="5" t="n">
        <v>5</v>
      </c>
      <c r="H49" s="6" t="s">
        <v>178</v>
      </c>
    </row>
    <row r="50" customFormat="false" ht="23.85" hidden="false" customHeight="false" outlineLevel="0" collapsed="false">
      <c r="A50" s="2" t="s">
        <v>179</v>
      </c>
      <c r="B50" s="3" t="s">
        <v>174</v>
      </c>
      <c r="C50" s="3" t="s">
        <v>175</v>
      </c>
      <c r="D50" s="3" t="s">
        <v>180</v>
      </c>
      <c r="E50" s="4" t="s">
        <v>12</v>
      </c>
      <c r="F50" s="3" t="s">
        <v>177</v>
      </c>
      <c r="G50" s="2" t="n">
        <v>8</v>
      </c>
      <c r="H50" s="3" t="s">
        <v>181</v>
      </c>
    </row>
    <row r="51" customFormat="false" ht="23.85" hidden="false" customHeight="false" outlineLevel="0" collapsed="false">
      <c r="A51" s="5" t="s">
        <v>182</v>
      </c>
      <c r="B51" s="6" t="s">
        <v>174</v>
      </c>
      <c r="C51" s="6" t="s">
        <v>175</v>
      </c>
      <c r="D51" s="6" t="s">
        <v>183</v>
      </c>
      <c r="E51" s="9" t="s">
        <v>32</v>
      </c>
      <c r="F51" s="6" t="s">
        <v>177</v>
      </c>
      <c r="G51" s="5" t="n">
        <v>3</v>
      </c>
      <c r="H51" s="6" t="s">
        <v>184</v>
      </c>
    </row>
    <row r="52" customFormat="false" ht="23.85" hidden="false" customHeight="false" outlineLevel="0" collapsed="false">
      <c r="A52" s="2" t="s">
        <v>185</v>
      </c>
      <c r="B52" s="3" t="s">
        <v>174</v>
      </c>
      <c r="C52" s="3" t="s">
        <v>175</v>
      </c>
      <c r="D52" s="3" t="s">
        <v>186</v>
      </c>
      <c r="E52" s="4" t="s">
        <v>12</v>
      </c>
      <c r="F52" s="3" t="s">
        <v>177</v>
      </c>
      <c r="G52" s="2" t="n">
        <v>8</v>
      </c>
      <c r="H52" s="3" t="s">
        <v>187</v>
      </c>
    </row>
    <row r="53" customFormat="false" ht="23.85" hidden="false" customHeight="false" outlineLevel="0" collapsed="false">
      <c r="A53" s="5" t="s">
        <v>188</v>
      </c>
      <c r="B53" s="6" t="s">
        <v>174</v>
      </c>
      <c r="C53" s="6" t="s">
        <v>175</v>
      </c>
      <c r="D53" s="6" t="s">
        <v>189</v>
      </c>
      <c r="E53" s="9" t="s">
        <v>32</v>
      </c>
      <c r="F53" s="6" t="s">
        <v>177</v>
      </c>
      <c r="G53" s="5" t="n">
        <v>5</v>
      </c>
      <c r="H53" s="6" t="s">
        <v>190</v>
      </c>
    </row>
    <row r="54" customFormat="false" ht="23.85" hidden="false" customHeight="false" outlineLevel="0" collapsed="false">
      <c r="A54" s="2" t="s">
        <v>191</v>
      </c>
      <c r="B54" s="3" t="s">
        <v>192</v>
      </c>
      <c r="C54" s="3" t="s">
        <v>84</v>
      </c>
      <c r="D54" s="3" t="s">
        <v>193</v>
      </c>
      <c r="E54" s="4" t="s">
        <v>12</v>
      </c>
      <c r="F54" s="3" t="s">
        <v>177</v>
      </c>
      <c r="G54" s="2" t="n">
        <v>5</v>
      </c>
      <c r="H54" s="3" t="s">
        <v>194</v>
      </c>
    </row>
    <row r="55" customFormat="false" ht="23.85" hidden="false" customHeight="false" outlineLevel="0" collapsed="false">
      <c r="A55" s="5" t="s">
        <v>195</v>
      </c>
      <c r="B55" s="6" t="s">
        <v>192</v>
      </c>
      <c r="C55" s="6" t="s">
        <v>84</v>
      </c>
      <c r="D55" s="6" t="s">
        <v>196</v>
      </c>
      <c r="E55" s="7" t="s">
        <v>12</v>
      </c>
      <c r="F55" s="6" t="s">
        <v>177</v>
      </c>
      <c r="G55" s="5" t="n">
        <v>3</v>
      </c>
      <c r="H55" s="6" t="s">
        <v>197</v>
      </c>
    </row>
    <row r="56" customFormat="false" ht="15" hidden="false" customHeight="false" outlineLevel="0" collapsed="false">
      <c r="A56" s="2" t="s">
        <v>198</v>
      </c>
      <c r="B56" s="3" t="s">
        <v>192</v>
      </c>
      <c r="C56" s="3" t="s">
        <v>57</v>
      </c>
      <c r="D56" s="3" t="s">
        <v>199</v>
      </c>
      <c r="E56" s="8" t="s">
        <v>32</v>
      </c>
      <c r="F56" s="3" t="s">
        <v>177</v>
      </c>
      <c r="G56" s="2" t="n">
        <v>3</v>
      </c>
      <c r="H56" s="3" t="s">
        <v>200</v>
      </c>
    </row>
    <row r="57" customFormat="false" ht="23.85" hidden="false" customHeight="false" outlineLevel="0" collapsed="false">
      <c r="A57" s="5" t="s">
        <v>201</v>
      </c>
      <c r="B57" s="6" t="s">
        <v>202</v>
      </c>
      <c r="C57" s="6" t="s">
        <v>57</v>
      </c>
      <c r="D57" s="6" t="s">
        <v>203</v>
      </c>
      <c r="E57" s="7" t="s">
        <v>12</v>
      </c>
      <c r="F57" s="6" t="s">
        <v>204</v>
      </c>
      <c r="G57" s="5" t="n">
        <v>5</v>
      </c>
      <c r="H57" s="6" t="s">
        <v>205</v>
      </c>
    </row>
    <row r="58" customFormat="false" ht="23.85" hidden="false" customHeight="false" outlineLevel="0" collapsed="false">
      <c r="A58" s="2" t="s">
        <v>206</v>
      </c>
      <c r="B58" s="3" t="s">
        <v>202</v>
      </c>
      <c r="C58" s="3" t="s">
        <v>57</v>
      </c>
      <c r="D58" s="3" t="s">
        <v>207</v>
      </c>
      <c r="E58" s="8" t="s">
        <v>32</v>
      </c>
      <c r="F58" s="3" t="s">
        <v>204</v>
      </c>
      <c r="G58" s="2" t="n">
        <v>3</v>
      </c>
      <c r="H58" s="3" t="s">
        <v>208</v>
      </c>
    </row>
    <row r="59" customFormat="false" ht="15" hidden="false" customHeight="false" outlineLevel="0" collapsed="false">
      <c r="A59" s="5" t="s">
        <v>209</v>
      </c>
      <c r="B59" s="6" t="s">
        <v>202</v>
      </c>
      <c r="C59" s="6" t="s">
        <v>57</v>
      </c>
      <c r="D59" s="6" t="s">
        <v>210</v>
      </c>
      <c r="E59" s="11" t="s">
        <v>165</v>
      </c>
      <c r="F59" s="6" t="s">
        <v>204</v>
      </c>
      <c r="G59" s="5" t="n">
        <v>2</v>
      </c>
      <c r="H59" s="6" t="s">
        <v>211</v>
      </c>
    </row>
    <row r="60" customFormat="false" ht="15" hidden="false" customHeight="false" outlineLevel="0" collapsed="false">
      <c r="A60" s="2" t="s">
        <v>212</v>
      </c>
      <c r="B60" s="3" t="s">
        <v>213</v>
      </c>
      <c r="C60" s="3" t="s">
        <v>10</v>
      </c>
      <c r="D60" s="3" t="s">
        <v>214</v>
      </c>
      <c r="E60" s="4" t="s">
        <v>12</v>
      </c>
      <c r="F60" s="3" t="s">
        <v>204</v>
      </c>
      <c r="G60" s="2" t="n">
        <v>8</v>
      </c>
      <c r="H60" s="3" t="s">
        <v>215</v>
      </c>
    </row>
    <row r="61" customFormat="false" ht="23.85" hidden="false" customHeight="false" outlineLevel="0" collapsed="false">
      <c r="A61" s="5" t="s">
        <v>216</v>
      </c>
      <c r="B61" s="6" t="s">
        <v>213</v>
      </c>
      <c r="C61" s="6" t="s">
        <v>10</v>
      </c>
      <c r="D61" s="6" t="s">
        <v>217</v>
      </c>
      <c r="E61" s="7" t="s">
        <v>12</v>
      </c>
      <c r="F61" s="6" t="s">
        <v>204</v>
      </c>
      <c r="G61" s="5" t="n">
        <v>5</v>
      </c>
      <c r="H61" s="6" t="s">
        <v>218</v>
      </c>
    </row>
    <row r="62" customFormat="false" ht="23.85" hidden="false" customHeight="false" outlineLevel="0" collapsed="false">
      <c r="A62" s="2" t="s">
        <v>219</v>
      </c>
      <c r="B62" s="3" t="s">
        <v>213</v>
      </c>
      <c r="C62" s="3" t="s">
        <v>10</v>
      </c>
      <c r="D62" s="3" t="s">
        <v>220</v>
      </c>
      <c r="E62" s="8" t="s">
        <v>32</v>
      </c>
      <c r="F62" s="3" t="s">
        <v>204</v>
      </c>
      <c r="G62" s="2" t="n">
        <v>5</v>
      </c>
      <c r="H62" s="3" t="s">
        <v>221</v>
      </c>
    </row>
    <row r="63" customFormat="false" ht="23.85" hidden="false" customHeight="false" outlineLevel="0" collapsed="false">
      <c r="A63" s="5" t="s">
        <v>222</v>
      </c>
      <c r="B63" s="6" t="s">
        <v>213</v>
      </c>
      <c r="C63" s="6" t="s">
        <v>10</v>
      </c>
      <c r="D63" s="6" t="s">
        <v>223</v>
      </c>
      <c r="E63" s="9" t="s">
        <v>32</v>
      </c>
      <c r="F63" s="6" t="s">
        <v>204</v>
      </c>
      <c r="G63" s="5" t="n">
        <v>5</v>
      </c>
      <c r="H63" s="6" t="s">
        <v>224</v>
      </c>
    </row>
    <row r="64" customFormat="false" ht="15" hidden="false" customHeight="false" outlineLevel="0" collapsed="false">
      <c r="A64" s="2" t="s">
        <v>225</v>
      </c>
      <c r="B64" s="3" t="s">
        <v>213</v>
      </c>
      <c r="C64" s="3" t="s">
        <v>10</v>
      </c>
      <c r="D64" s="3" t="s">
        <v>226</v>
      </c>
      <c r="E64" s="4" t="s">
        <v>12</v>
      </c>
      <c r="F64" s="3" t="s">
        <v>204</v>
      </c>
      <c r="G64" s="2" t="n">
        <v>5</v>
      </c>
      <c r="H64" s="3" t="s">
        <v>227</v>
      </c>
    </row>
    <row r="65" customFormat="false" ht="23.85" hidden="false" customHeight="false" outlineLevel="0" collapsed="false">
      <c r="A65" s="5" t="s">
        <v>228</v>
      </c>
      <c r="B65" s="6" t="s">
        <v>213</v>
      </c>
      <c r="C65" s="6" t="s">
        <v>10</v>
      </c>
      <c r="D65" s="6" t="s">
        <v>229</v>
      </c>
      <c r="E65" s="7" t="s">
        <v>12</v>
      </c>
      <c r="F65" s="6" t="s">
        <v>204</v>
      </c>
      <c r="G65" s="5" t="n">
        <v>3</v>
      </c>
      <c r="H65" s="6" t="s">
        <v>230</v>
      </c>
    </row>
    <row r="66" customFormat="false" ht="23.85" hidden="false" customHeight="false" outlineLevel="0" collapsed="false">
      <c r="A66" s="2" t="s">
        <v>231</v>
      </c>
      <c r="B66" s="3" t="s">
        <v>213</v>
      </c>
      <c r="C66" s="3" t="s">
        <v>10</v>
      </c>
      <c r="D66" s="3" t="s">
        <v>232</v>
      </c>
      <c r="E66" s="8" t="s">
        <v>32</v>
      </c>
      <c r="F66" s="3" t="s">
        <v>204</v>
      </c>
      <c r="G66" s="2" t="n">
        <v>5</v>
      </c>
      <c r="H66" s="3" t="s">
        <v>233</v>
      </c>
    </row>
  </sheetData>
  <autoFilter ref="A1:H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" t="s">
        <v>5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</row>
    <row r="2" customFormat="false" ht="15" hidden="false" customHeight="false" outlineLevel="0" collapsed="false">
      <c r="A2" s="3" t="s">
        <v>13</v>
      </c>
      <c r="B2" s="3" t="s">
        <v>239</v>
      </c>
      <c r="C2" s="3" t="s">
        <v>240</v>
      </c>
      <c r="D2" s="12" t="n">
        <f aca="false">COUNTIF(Backlog!F:F,A2)</f>
        <v>8</v>
      </c>
      <c r="E2" s="12" t="n">
        <f aca="false">SUMIF(Backlog!F:F,A2,Backlog!G:G)</f>
        <v>29</v>
      </c>
      <c r="F2" s="12" t="n">
        <f aca="false">SUMIFS(Backlog!G:G,Backlog!F:F,A2,Backlog!E:E,"Must")</f>
        <v>24</v>
      </c>
    </row>
    <row r="3" customFormat="false" ht="15" hidden="false" customHeight="false" outlineLevel="0" collapsed="false">
      <c r="A3" s="6" t="s">
        <v>41</v>
      </c>
      <c r="B3" s="6" t="s">
        <v>241</v>
      </c>
      <c r="C3" s="6" t="s">
        <v>242</v>
      </c>
      <c r="D3" s="13" t="n">
        <f aca="false">COUNTIF(Backlog!F:F,A3)</f>
        <v>8</v>
      </c>
      <c r="E3" s="13" t="n">
        <f aca="false">SUMIF(Backlog!F:F,A3,Backlog!G:G)</f>
        <v>31</v>
      </c>
      <c r="F3" s="13" t="n">
        <f aca="false">SUMIFS(Backlog!G:G,Backlog!F:F,A3,Backlog!E:E,"Must")</f>
        <v>29</v>
      </c>
    </row>
    <row r="4" customFormat="false" ht="15" hidden="false" customHeight="false" outlineLevel="0" collapsed="false">
      <c r="A4" s="3" t="s">
        <v>69</v>
      </c>
      <c r="B4" s="3" t="s">
        <v>243</v>
      </c>
      <c r="C4" s="3" t="s">
        <v>244</v>
      </c>
      <c r="D4" s="12" t="n">
        <f aca="false">COUNTIF(Backlog!F:F,A4)</f>
        <v>8</v>
      </c>
      <c r="E4" s="12" t="n">
        <f aca="false">SUMIF(Backlog!F:F,A4,Backlog!G:G)</f>
        <v>38</v>
      </c>
      <c r="F4" s="12" t="n">
        <f aca="false">SUMIFS(Backlog!G:G,Backlog!F:F,A4,Backlog!E:E,"Must")</f>
        <v>36</v>
      </c>
    </row>
    <row r="5" customFormat="false" ht="15" hidden="false" customHeight="false" outlineLevel="0" collapsed="false">
      <c r="A5" s="6" t="s">
        <v>96</v>
      </c>
      <c r="B5" s="6" t="s">
        <v>245</v>
      </c>
      <c r="C5" s="6" t="s">
        <v>246</v>
      </c>
      <c r="D5" s="13" t="n">
        <f aca="false">COUNTIF(Backlog!F:F,A5)</f>
        <v>8</v>
      </c>
      <c r="E5" s="13" t="n">
        <f aca="false">SUMIF(Backlog!F:F,A5,Backlog!G:G)</f>
        <v>45</v>
      </c>
      <c r="F5" s="13" t="n">
        <f aca="false">SUMIFS(Backlog!G:G,Backlog!F:F,A5,Backlog!E:E,"Must")</f>
        <v>29</v>
      </c>
    </row>
    <row r="6" customFormat="false" ht="15" hidden="false" customHeight="false" outlineLevel="0" collapsed="false">
      <c r="A6" s="3" t="s">
        <v>122</v>
      </c>
      <c r="B6" s="3" t="s">
        <v>247</v>
      </c>
      <c r="C6" s="3" t="s">
        <v>248</v>
      </c>
      <c r="D6" s="12" t="n">
        <f aca="false">COUNTIF(Backlog!F:F,A6)</f>
        <v>7</v>
      </c>
      <c r="E6" s="12" t="n">
        <f aca="false">SUMIF(Backlog!F:F,A6,Backlog!G:G)</f>
        <v>41</v>
      </c>
      <c r="F6" s="12" t="n">
        <f aca="false">SUMIFS(Backlog!G:G,Backlog!F:F,A6,Backlog!E:E,"Must")</f>
        <v>34</v>
      </c>
    </row>
    <row r="7" customFormat="false" ht="15" hidden="false" customHeight="false" outlineLevel="0" collapsed="false">
      <c r="A7" s="6" t="s">
        <v>148</v>
      </c>
      <c r="B7" s="6" t="s">
        <v>249</v>
      </c>
      <c r="C7" s="6" t="s">
        <v>250</v>
      </c>
      <c r="D7" s="13" t="n">
        <f aca="false">COUNTIF(Backlog!F:F,A7)</f>
        <v>8</v>
      </c>
      <c r="E7" s="13" t="n">
        <f aca="false">SUMIF(Backlog!F:F,A7,Backlog!G:G)</f>
        <v>33</v>
      </c>
      <c r="F7" s="13" t="n">
        <f aca="false">SUMIFS(Backlog!G:G,Backlog!F:F,A7,Backlog!E:E,"Must")</f>
        <v>5</v>
      </c>
    </row>
    <row r="8" customFormat="false" ht="15" hidden="false" customHeight="false" outlineLevel="0" collapsed="false">
      <c r="A8" s="3" t="s">
        <v>177</v>
      </c>
      <c r="B8" s="3" t="s">
        <v>251</v>
      </c>
      <c r="C8" s="3" t="s">
        <v>252</v>
      </c>
      <c r="D8" s="12" t="n">
        <f aca="false">COUNTIF(Backlog!F:F,A8)</f>
        <v>8</v>
      </c>
      <c r="E8" s="12" t="n">
        <f aca="false">SUMIF(Backlog!F:F,A8,Backlog!G:G)</f>
        <v>40</v>
      </c>
      <c r="F8" s="12" t="n">
        <f aca="false">SUMIFS(Backlog!G:G,Backlog!F:F,A8,Backlog!E:E,"Must")</f>
        <v>29</v>
      </c>
    </row>
    <row r="9" customFormat="false" ht="15" hidden="false" customHeight="false" outlineLevel="0" collapsed="false">
      <c r="A9" s="6" t="s">
        <v>204</v>
      </c>
      <c r="B9" s="6" t="s">
        <v>253</v>
      </c>
      <c r="C9" s="6" t="s">
        <v>254</v>
      </c>
      <c r="D9" s="13" t="n">
        <f aca="false">COUNTIF(Backlog!F:F,A9)</f>
        <v>10</v>
      </c>
      <c r="E9" s="13" t="n">
        <f aca="false">SUMIF(Backlog!F:F,A9,Backlog!G:G)</f>
        <v>46</v>
      </c>
      <c r="F9" s="13" t="n">
        <f aca="false">SUMIFS(Backlog!G:G,Backlog!F:F,A9,Backlog!E:E,"Must")</f>
        <v>26</v>
      </c>
    </row>
    <row r="10" customFormat="false" ht="15" hidden="false" customHeight="false" outlineLevel="0" collapsed="false">
      <c r="A10" s="14"/>
      <c r="B10" s="14"/>
      <c r="C10" s="15" t="s">
        <v>255</v>
      </c>
      <c r="D10" s="15" t="n">
        <f aca="false">SUM(D2:D9)</f>
        <v>65</v>
      </c>
      <c r="E10" s="15" t="n">
        <f aca="false">SUM(E2:E9)</f>
        <v>303</v>
      </c>
      <c r="F10" s="15" t="n">
        <f aca="false">SUM(F2:F9)</f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6" t="s">
        <v>256</v>
      </c>
      <c r="B1" s="16"/>
    </row>
    <row r="3" customFormat="false" ht="23.85" hidden="false" customHeight="false" outlineLevel="0" collapsed="false">
      <c r="A3" s="17" t="s">
        <v>12</v>
      </c>
      <c r="B3" s="18" t="s">
        <v>257</v>
      </c>
    </row>
    <row r="5" customFormat="false" ht="15" hidden="false" customHeight="false" outlineLevel="0" collapsed="false">
      <c r="A5" s="19" t="s">
        <v>32</v>
      </c>
      <c r="B5" s="18" t="s">
        <v>258</v>
      </c>
    </row>
    <row r="7" customFormat="false" ht="15" hidden="false" customHeight="false" outlineLevel="0" collapsed="false">
      <c r="A7" s="20" t="s">
        <v>165</v>
      </c>
      <c r="B7" s="18" t="s">
        <v>259</v>
      </c>
    </row>
    <row r="9" customFormat="false" ht="15" hidden="false" customHeight="false" outlineLevel="0" collapsed="false">
      <c r="A9" s="21" t="s">
        <v>260</v>
      </c>
      <c r="B9" s="18" t="s">
        <v>261</v>
      </c>
    </row>
    <row r="12" customFormat="false" ht="17.35" hidden="false" customHeight="false" outlineLevel="0" collapsed="false">
      <c r="A12" s="16" t="s">
        <v>6</v>
      </c>
      <c r="B12" s="16"/>
    </row>
    <row r="14" customFormat="false" ht="15" hidden="false" customHeight="false" outlineLevel="0" collapsed="false">
      <c r="A14" s="22" t="s">
        <v>262</v>
      </c>
      <c r="B14" s="23" t="s">
        <v>263</v>
      </c>
    </row>
    <row r="17" customFormat="false" ht="17.35" hidden="false" customHeight="false" outlineLevel="0" collapsed="false">
      <c r="A17" s="16" t="s">
        <v>264</v>
      </c>
      <c r="B17" s="16"/>
    </row>
    <row r="19" customFormat="false" ht="23.85" hidden="false" customHeight="false" outlineLevel="0" collapsed="false">
      <c r="A19" s="24" t="s">
        <v>265</v>
      </c>
      <c r="B19" s="23" t="s">
        <v>266</v>
      </c>
    </row>
    <row r="21" customFormat="false" ht="23.85" hidden="false" customHeight="false" outlineLevel="0" collapsed="false">
      <c r="A21" s="24" t="s">
        <v>265</v>
      </c>
      <c r="B21" s="23" t="s">
        <v>267</v>
      </c>
    </row>
    <row r="23" customFormat="false" ht="23.85" hidden="false" customHeight="false" outlineLevel="0" collapsed="false">
      <c r="A23" s="24" t="s">
        <v>265</v>
      </c>
      <c r="B23" s="23" t="s">
        <v>268</v>
      </c>
    </row>
  </sheetData>
  <mergeCells count="3">
    <mergeCell ref="A1:B1"/>
    <mergeCell ref="A12:B12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2026-09-04T22:08:17Z</dcterms:created>
  <dc:creator>openpyxl</dc:creator>
  <dc:description/>
  <dc:language>en-US</dc:language>
  <cp:lastModifiedBy/>
  <dcterms:modified xsi:type="dcterms:W3CDTF">2026-09-04T22:08:17Z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